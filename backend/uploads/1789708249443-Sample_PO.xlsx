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INESH/Dropbox/My Mac (DINESHs-MacBook-Pro.local)/Desktop/"/>
    </mc:Choice>
  </mc:AlternateContent>
  <xr:revisionPtr revIDLastSave="0" documentId="8_{B3B6E3C3-2560-E84E-B761-F1521C7E01D8}" xr6:coauthVersionLast="47" xr6:coauthVersionMax="47" xr10:uidLastSave="{00000000-0000-0000-0000-000000000000}"/>
  <bookViews>
    <workbookView xWindow="0" yWindow="580" windowWidth="27040" windowHeight="12300" xr2:uid="{00000000-000D-0000-FFFF-FFFF00000000}"/>
  </bookViews>
  <sheets>
    <sheet name="LEG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I21" i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K2" i="1" s="1"/>
  <c r="K57" i="1" l="1"/>
</calcChain>
</file>

<file path=xl/sharedStrings.xml><?xml version="1.0" encoding="utf-8"?>
<sst xmlns="http://schemas.openxmlformats.org/spreadsheetml/2006/main" count="228" uniqueCount="132">
  <si>
    <t>SR. NO.</t>
  </si>
  <si>
    <t>GROUP NAME</t>
  </si>
  <si>
    <t>DESCRIPTION-2</t>
  </si>
  <si>
    <t>MAKE</t>
  </si>
  <si>
    <t>CATALOG NUMBER</t>
  </si>
  <si>
    <t>PRICE</t>
  </si>
  <si>
    <t>TOTAL QTY</t>
  </si>
  <si>
    <t>DISCOUNT%</t>
  </si>
  <si>
    <t>DISC. AMOUNT (Rs.)</t>
  </si>
  <si>
    <t>LANDED RATE (Rs.)</t>
  </si>
  <si>
    <t>LANDED COST (Rs.)</t>
  </si>
  <si>
    <t>$J$209</t>
  </si>
  <si>
    <t>63A 3P 10kA C-Curve MCB</t>
  </si>
  <si>
    <t>LEGRAND</t>
  </si>
  <si>
    <t>4086 61</t>
  </si>
  <si>
    <t>ACB</t>
  </si>
  <si>
    <t>1600A 4P 50kA Frame Size: 1 EDO ACB, Release: Microprocessor Based Release MP2.10 LSIG with 240V AC, ECD+CC &amp; 240V AC S/T, Type: DMX-SP-N 2500</t>
  </si>
  <si>
    <t>DMXS116N4ED2N</t>
  </si>
  <si>
    <t>800A 4P 50kA Frame Size: 1 EDO ACB, Release: Microprocessor Based Release MP2.10 LSIG with 240V AC, ECD+CC &amp; 240V AC S/T, Type: DMX-SP-N 2500</t>
  </si>
  <si>
    <t>DMXS108N4ED2N</t>
  </si>
  <si>
    <t>ACB ACCESSORIES</t>
  </si>
  <si>
    <t>Shunt Release, Voltage: 220-250V AC/DC for DMX SP 2500</t>
  </si>
  <si>
    <t>0281 34</t>
  </si>
  <si>
    <t>Undervoltage Release, Voltage: 220-250V AC/DC for DMX SP 2500</t>
  </si>
  <si>
    <t>0281 39</t>
  </si>
  <si>
    <t>CAPACITOR</t>
  </si>
  <si>
    <t>5kVAr 3Ph Standard Duty Resin filled 440V AC Cylindrical Capacitor</t>
  </si>
  <si>
    <t>5150 04</t>
  </si>
  <si>
    <t>10kVAr 3Ph Standard Duty Resin filled 440V AC Cylindrical Capacitor</t>
  </si>
  <si>
    <t>5150 06</t>
  </si>
  <si>
    <t>15kVAr 3Ph Standard Duty Resin filled 440V AC Cylindrical Capacitor</t>
  </si>
  <si>
    <t>5150 08</t>
  </si>
  <si>
    <t>Set of 3 incoming or outgoing Spreader Links for 3 Pole DRX 100</t>
  </si>
  <si>
    <t>6250 10</t>
  </si>
  <si>
    <t>DIGITAL METER</t>
  </si>
  <si>
    <t>VAF+PF Meter, 3Ph with RS485 Port, CT Sec: 1/5A, Acc Cl: 1,  Size: 96 x 96, Model: PMX 4000</t>
  </si>
  <si>
    <t>4149 80</t>
  </si>
  <si>
    <t>VAF+PF Meter, 3Ph, CT Sec: 1/5A, Acc Cl: 1,  Size: 96 x 96, Model: PMX 4000</t>
  </si>
  <si>
    <t>4149 79</t>
  </si>
  <si>
    <t>Manually Entered Data</t>
  </si>
  <si>
    <t>12 Steps Power factor Controller, Type: Eco</t>
  </si>
  <si>
    <t>4151 98</t>
  </si>
  <si>
    <t>MCB</t>
  </si>
  <si>
    <t>6A 1P 10kA C-Curve MCB</t>
  </si>
  <si>
    <t>4085 87</t>
  </si>
  <si>
    <t>16A 1P 10kA C-Curve MCB</t>
  </si>
  <si>
    <t>4085 92</t>
  </si>
  <si>
    <t>20A 1P 10kA C-Curve MCB</t>
  </si>
  <si>
    <t>4085 93</t>
  </si>
  <si>
    <t>25A 1P 10kA C-Curve MCB</t>
  </si>
  <si>
    <t>4085 94</t>
  </si>
  <si>
    <t>32A 1P 10kA C-Curve MCB</t>
  </si>
  <si>
    <t>4085 95</t>
  </si>
  <si>
    <t>20A 3P 10kA C-Curve MCB</t>
  </si>
  <si>
    <t>4086 56</t>
  </si>
  <si>
    <t>40A 3P 10kA C-Curve MCB</t>
  </si>
  <si>
    <t>4086 59</t>
  </si>
  <si>
    <t>100A 3P 10kA MCCB, TM Release (Fixed Thermal and Fixed Magnetic), Type: DRX 100</t>
  </si>
  <si>
    <t>0270 08</t>
  </si>
  <si>
    <t>10A 1P 10kA C-Curve MCB</t>
  </si>
  <si>
    <t>4085 90</t>
  </si>
  <si>
    <t>63A 4P 10kA C-Curve MCB</t>
  </si>
  <si>
    <t>4087 02</t>
  </si>
  <si>
    <t>32A 2P 10kA C-Curve MCB</t>
  </si>
  <si>
    <t>4086 36</t>
  </si>
  <si>
    <t>63A 1P 10kA C-Curve MCB</t>
  </si>
  <si>
    <t>4085 98</t>
  </si>
  <si>
    <t>40A 4P 10kA C-Curve MCB</t>
  </si>
  <si>
    <t>4087 00</t>
  </si>
  <si>
    <t>32A 4P 10kA C-Curve MCB</t>
  </si>
  <si>
    <t>4086 99</t>
  </si>
  <si>
    <t>25A 4P 10kA C-Curve MCB</t>
  </si>
  <si>
    <t>4086 98</t>
  </si>
  <si>
    <t>16A 2P 10kA C-Curve MCB</t>
  </si>
  <si>
    <t>4086 33</t>
  </si>
  <si>
    <t>MCCB</t>
  </si>
  <si>
    <t>400A 4P 36kA MCCB, TM Release (Adjustable Thermal and Adjustable Magnetic), Type: DRX  630</t>
  </si>
  <si>
    <t>6676 55</t>
  </si>
  <si>
    <t>100A 4P 25kA MCCB, TM Release (Adjustable Thermal and Fixed Magnetic), Type: DRX125HP</t>
  </si>
  <si>
    <t>6697 18</t>
  </si>
  <si>
    <t>125A 4P 25kA MCCB, TM Release (Adjustable Thermal and Fixed Magnetic), Type: DRX125HP</t>
  </si>
  <si>
    <t>6697 19</t>
  </si>
  <si>
    <t>160A 4P 25kA MCCB, TM Release (Adjustable Thermal and Adjustable Magnetic), Type: DRX 250HP</t>
  </si>
  <si>
    <t>6690 30</t>
  </si>
  <si>
    <t>250A 4P 25kA MCCB, TM Release (Adjustable Thermal and Adjustable Magnetic), Type: DRX 250HP</t>
  </si>
  <si>
    <t>6690 32</t>
  </si>
  <si>
    <t>630A 3P 36kA MCCB, TM Release (Adjustable Thermal and Adjustable Magnetic), Type: DRX  630</t>
  </si>
  <si>
    <t>6676 53</t>
  </si>
  <si>
    <t>100A 3P 25kA MCCB, TM Release (Adjustable Thermal and Fixed Magnetic), Type: DRX125HP</t>
  </si>
  <si>
    <t>6697 08</t>
  </si>
  <si>
    <t>63A 3P 25kA MCCB, TM Release (Adjustable Thermal and Fixed Magnetic), Type: DRX125HP</t>
  </si>
  <si>
    <t>6697 06</t>
  </si>
  <si>
    <t>MCCB ACCESSORIES</t>
  </si>
  <si>
    <t>Set of 4 incoming or outgoing Spreader Links - 4P 400A, Type: DRX 630</t>
  </si>
  <si>
    <t>4226 32</t>
  </si>
  <si>
    <t>Rotary Handle-Vary-depth (Extended) for DRX 630</t>
  </si>
  <si>
    <t>6687 81</t>
  </si>
  <si>
    <t>Auxiliary contact for fault signalling/ON-OFF for DPX 160/250/630/1600</t>
  </si>
  <si>
    <t>4210 11</t>
  </si>
  <si>
    <t>Set of 4 incoming or outgoing Spreader Links for 4 Pole DRX 125HP</t>
  </si>
  <si>
    <t>6250 11</t>
  </si>
  <si>
    <t>Rotary Handle-Vary-depth (Extended) for DRX 125HP</t>
  </si>
  <si>
    <t>6687 71</t>
  </si>
  <si>
    <t>Set of 4 incoming or outgoing Spreader Links for DRX-250HP 4P</t>
  </si>
  <si>
    <t>6250 18</t>
  </si>
  <si>
    <t>Rotary Handle-Vary-depth (Extended) for DRX 250HP</t>
  </si>
  <si>
    <t>6687 73</t>
  </si>
  <si>
    <t>Set of 3 incoming or outgoing Spreader Links - 3P 400A, Type: DRX 630</t>
  </si>
  <si>
    <t>4226 31</t>
  </si>
  <si>
    <t>Set of 3 incoming or outgoing Spreader Links for 3 Pole DRX 125HP</t>
  </si>
  <si>
    <t>POWER CONTACTOR</t>
  </si>
  <si>
    <t>AC3: 400A AC1: 500A 4P Power Contactor, Coil: 100-240V AC/DC, Aux. Contact: 2NO+2NC, Type: CTX3</t>
  </si>
  <si>
    <t>4165 06</t>
  </si>
  <si>
    <t>AC3: 9A AC1: 20A 3P Mini Power Contactor, Coil: 230V AC, Type: CTX3</t>
  </si>
  <si>
    <t>4170 26</t>
  </si>
  <si>
    <t>AC3: 12A AC1: 20A 3P Mini Power Contactor, Coil: 230V AC, Type: CTX3</t>
  </si>
  <si>
    <t>4170 46</t>
  </si>
  <si>
    <t>AC3: 18A AC1: 40A 3P Power Contactor, Coil: 230V AC, Aux. Contact: 1NO+1NC, Type: CT3 22</t>
  </si>
  <si>
    <t>4161 06</t>
  </si>
  <si>
    <t>POWER CONTACTOR ACCESSORIES</t>
  </si>
  <si>
    <t>1NO+1NC Front Mounted Add on auxiliary blocks for CTX3 contactors</t>
  </si>
  <si>
    <t>4168 50</t>
  </si>
  <si>
    <t>Capacitor Switching Units (9.7-62kVAr) For contactors CTX3 3P from 9 to 40 A</t>
  </si>
  <si>
    <t>4168 74</t>
  </si>
  <si>
    <t>AC3: 75A AC1: 110A 3P Power Contactor, Coil: 230V AC, Aux. Contact: 2NO+2NC, Type: CTX3 100</t>
  </si>
  <si>
    <t>4161 86</t>
  </si>
  <si>
    <t>25kVAr 3Ph Standard Duty Resin filled 440V AC Cylindrical Capacitor</t>
  </si>
  <si>
    <t>5150 10</t>
  </si>
  <si>
    <t>AC3: 32A AC1: 50A 3P Power Contactor, Coil: 230V AC, Aux. Contact: 2NO+2NC, Type: CTX3 40</t>
  </si>
  <si>
    <t>4161 26</t>
  </si>
  <si>
    <t>Capacitor Switching Units (9.7-62kVAr) For contactors CTX3 3P 75 to 100 A with screw terminals</t>
  </si>
  <si>
    <t>4168 77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</si>
</sst>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C1" zoomScale="80" zoomScaleNormal="80" workbookViewId="0">
      <selection activeCell="C14" sqref="C14"/>
    </sheetView>
  </sheetViews>
  <sheetFormatPr baseColWidth="10" defaultColWidth="9.1640625" defaultRowHeight="15" x14ac:dyDescent="0.2"/>
  <cols>
    <col min="1" max="1" width="8.5" style="2" bestFit="1" customWidth="1"/>
    <col min="2" max="2" width="33.1640625" style="2" bestFit="1" customWidth="1"/>
    <col min="3" max="3" width="90.83203125" style="2" bestFit="1" customWidth="1"/>
    <col min="4" max="4" width="10" style="2" bestFit="1" customWidth="1"/>
    <col min="5" max="5" width="20" style="2" bestFit="1" customWidth="1"/>
    <col min="6" max="6" width="7.6640625" style="2" bestFit="1" customWidth="1"/>
    <col min="7" max="7" width="8" style="2" bestFit="1" customWidth="1"/>
    <col min="8" max="8" width="10.1640625" style="2" bestFit="1" customWidth="1"/>
    <col min="9" max="9" width="15.1640625" style="2" bestFit="1" customWidth="1"/>
    <col min="10" max="10" width="10.6640625" style="2" bestFit="1" customWidth="1"/>
    <col min="11" max="11" width="10.83203125" style="2" bestFit="1" customWidth="1"/>
    <col min="12" max="16384" width="9.1640625" style="2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3150</v>
      </c>
      <c r="G2" s="3">
        <v>8</v>
      </c>
      <c r="H2" s="3">
        <v>68</v>
      </c>
      <c r="I2" s="3">
        <f>F2*H2%</f>
        <v>2142</v>
      </c>
      <c r="J2" s="3">
        <f>F2-I2</f>
        <v>1008</v>
      </c>
      <c r="K2" s="3">
        <f>G2*J2</f>
        <v>8064</v>
      </c>
    </row>
    <row r="3" spans="1:11" ht="32" x14ac:dyDescent="0.2">
      <c r="A3" s="3">
        <v>2</v>
      </c>
      <c r="B3" s="3" t="s">
        <v>15</v>
      </c>
      <c r="C3" s="3" t="s">
        <v>16</v>
      </c>
      <c r="D3" s="3" t="s">
        <v>13</v>
      </c>
      <c r="E3" s="3" t="s">
        <v>17</v>
      </c>
      <c r="F3" s="3">
        <v>366910</v>
      </c>
      <c r="G3" s="3">
        <v>1</v>
      </c>
      <c r="H3" s="3">
        <v>68</v>
      </c>
      <c r="I3" s="3">
        <f t="shared" ref="I3:I56" si="0">F3*H3%</f>
        <v>249498.80000000002</v>
      </c>
      <c r="J3" s="3">
        <f t="shared" ref="J3:J56" si="1">F3-I3</f>
        <v>117411.19999999998</v>
      </c>
      <c r="K3" s="3">
        <f t="shared" ref="K3:K56" si="2">G3*J3</f>
        <v>117411.19999999998</v>
      </c>
    </row>
    <row r="4" spans="1:11" ht="32" x14ac:dyDescent="0.2">
      <c r="A4" s="3">
        <v>3</v>
      </c>
      <c r="B4" s="3" t="s">
        <v>15</v>
      </c>
      <c r="C4" s="3" t="s">
        <v>18</v>
      </c>
      <c r="D4" s="3" t="s">
        <v>13</v>
      </c>
      <c r="E4" s="3" t="s">
        <v>19</v>
      </c>
      <c r="F4" s="3">
        <v>299930</v>
      </c>
      <c r="G4" s="3">
        <v>2</v>
      </c>
      <c r="H4" s="3">
        <v>68</v>
      </c>
      <c r="I4" s="3">
        <f t="shared" si="0"/>
        <v>203952.40000000002</v>
      </c>
      <c r="J4" s="3">
        <f t="shared" si="1"/>
        <v>95977.599999999977</v>
      </c>
      <c r="K4" s="3">
        <f t="shared" si="2"/>
        <v>191955.19999999995</v>
      </c>
    </row>
    <row r="5" spans="1:11" ht="16" x14ac:dyDescent="0.2">
      <c r="A5" s="3">
        <v>4</v>
      </c>
      <c r="B5" s="3" t="s">
        <v>20</v>
      </c>
      <c r="C5" s="3" t="s">
        <v>21</v>
      </c>
      <c r="D5" s="3" t="s">
        <v>13</v>
      </c>
      <c r="E5" s="3" t="s">
        <v>22</v>
      </c>
      <c r="F5" s="3">
        <v>6700</v>
      </c>
      <c r="G5" s="3">
        <v>3</v>
      </c>
      <c r="H5" s="3">
        <v>68</v>
      </c>
      <c r="I5" s="3">
        <f t="shared" si="0"/>
        <v>4556</v>
      </c>
      <c r="J5" s="3">
        <f t="shared" si="1"/>
        <v>2144</v>
      </c>
      <c r="K5" s="3">
        <f t="shared" si="2"/>
        <v>6432</v>
      </c>
    </row>
    <row r="6" spans="1:11" ht="16" x14ac:dyDescent="0.2">
      <c r="A6" s="3">
        <v>5</v>
      </c>
      <c r="B6" s="3" t="s">
        <v>20</v>
      </c>
      <c r="C6" s="3" t="s">
        <v>23</v>
      </c>
      <c r="D6" s="3" t="s">
        <v>13</v>
      </c>
      <c r="E6" s="3" t="s">
        <v>24</v>
      </c>
      <c r="F6" s="3">
        <v>9050</v>
      </c>
      <c r="G6" s="3">
        <v>3</v>
      </c>
      <c r="H6" s="3">
        <v>68</v>
      </c>
      <c r="I6" s="3">
        <f t="shared" si="0"/>
        <v>6154</v>
      </c>
      <c r="J6" s="3">
        <f t="shared" si="1"/>
        <v>2896</v>
      </c>
      <c r="K6" s="3">
        <f t="shared" si="2"/>
        <v>8688</v>
      </c>
    </row>
    <row r="7" spans="1:11" ht="16" x14ac:dyDescent="0.2">
      <c r="A7" s="3">
        <v>6</v>
      </c>
      <c r="B7" s="3" t="s">
        <v>25</v>
      </c>
      <c r="C7" s="3" t="s">
        <v>26</v>
      </c>
      <c r="D7" s="3" t="s">
        <v>13</v>
      </c>
      <c r="E7" s="3" t="s">
        <v>27</v>
      </c>
      <c r="F7" s="3">
        <v>1706</v>
      </c>
      <c r="G7" s="3">
        <v>1</v>
      </c>
      <c r="H7" s="3">
        <v>67</v>
      </c>
      <c r="I7" s="3">
        <f t="shared" si="0"/>
        <v>1143.02</v>
      </c>
      <c r="J7" s="3">
        <f t="shared" si="1"/>
        <v>562.98</v>
      </c>
      <c r="K7" s="3">
        <f t="shared" si="2"/>
        <v>562.98</v>
      </c>
    </row>
    <row r="8" spans="1:11" ht="16" x14ac:dyDescent="0.2">
      <c r="A8" s="3">
        <v>7</v>
      </c>
      <c r="B8" s="3" t="s">
        <v>25</v>
      </c>
      <c r="C8" s="3" t="s">
        <v>28</v>
      </c>
      <c r="D8" s="3" t="s">
        <v>13</v>
      </c>
      <c r="E8" s="3" t="s">
        <v>29</v>
      </c>
      <c r="F8" s="3">
        <v>3350</v>
      </c>
      <c r="G8" s="3">
        <v>3</v>
      </c>
      <c r="H8" s="3">
        <v>67</v>
      </c>
      <c r="I8" s="3">
        <f t="shared" si="0"/>
        <v>2244.5</v>
      </c>
      <c r="J8" s="3">
        <f t="shared" si="1"/>
        <v>1105.5</v>
      </c>
      <c r="K8" s="3">
        <f t="shared" si="2"/>
        <v>3316.5</v>
      </c>
    </row>
    <row r="9" spans="1:11" ht="16" x14ac:dyDescent="0.2">
      <c r="A9" s="3">
        <v>8</v>
      </c>
      <c r="B9" s="3" t="s">
        <v>25</v>
      </c>
      <c r="C9" s="3" t="s">
        <v>30</v>
      </c>
      <c r="D9" s="3" t="s">
        <v>13</v>
      </c>
      <c r="E9" s="3" t="s">
        <v>31</v>
      </c>
      <c r="F9" s="3">
        <v>5018</v>
      </c>
      <c r="G9" s="3">
        <v>1</v>
      </c>
      <c r="H9" s="3">
        <v>67</v>
      </c>
      <c r="I9" s="3">
        <f t="shared" si="0"/>
        <v>3362.0600000000004</v>
      </c>
      <c r="J9" s="3">
        <f t="shared" si="1"/>
        <v>1655.9399999999996</v>
      </c>
      <c r="K9" s="3">
        <f t="shared" si="2"/>
        <v>1655.9399999999996</v>
      </c>
    </row>
    <row r="10" spans="1:11" ht="16" x14ac:dyDescent="0.2">
      <c r="A10" s="3">
        <v>9</v>
      </c>
      <c r="B10" s="3" t="s">
        <v>25</v>
      </c>
      <c r="C10" s="3" t="s">
        <v>32</v>
      </c>
      <c r="D10" s="3" t="s">
        <v>13</v>
      </c>
      <c r="E10" s="3" t="s">
        <v>33</v>
      </c>
      <c r="F10" s="3">
        <v>290</v>
      </c>
      <c r="G10" s="3">
        <v>8</v>
      </c>
      <c r="H10" s="3">
        <v>67</v>
      </c>
      <c r="I10" s="3">
        <f t="shared" si="0"/>
        <v>194.3</v>
      </c>
      <c r="J10" s="3">
        <f t="shared" si="1"/>
        <v>95.699999999999989</v>
      </c>
      <c r="K10" s="3">
        <f t="shared" si="2"/>
        <v>765.59999999999991</v>
      </c>
    </row>
    <row r="11" spans="1:11" ht="16" x14ac:dyDescent="0.2">
      <c r="A11" s="3">
        <v>10</v>
      </c>
      <c r="B11" s="3" t="s">
        <v>34</v>
      </c>
      <c r="C11" s="3" t="s">
        <v>35</v>
      </c>
      <c r="D11" s="3" t="s">
        <v>13</v>
      </c>
      <c r="E11" s="3" t="s">
        <v>36</v>
      </c>
      <c r="F11" s="3">
        <v>4394</v>
      </c>
      <c r="G11" s="3">
        <v>3</v>
      </c>
      <c r="H11" s="3">
        <v>67</v>
      </c>
      <c r="I11" s="3">
        <f t="shared" si="0"/>
        <v>2943.98</v>
      </c>
      <c r="J11" s="3">
        <f t="shared" si="1"/>
        <v>1450.02</v>
      </c>
      <c r="K11" s="3">
        <f t="shared" si="2"/>
        <v>4350.0599999999995</v>
      </c>
    </row>
    <row r="12" spans="1:11" ht="16" x14ac:dyDescent="0.2">
      <c r="A12" s="3">
        <v>11</v>
      </c>
      <c r="B12" s="3" t="s">
        <v>34</v>
      </c>
      <c r="C12" s="3" t="s">
        <v>37</v>
      </c>
      <c r="D12" s="3" t="s">
        <v>13</v>
      </c>
      <c r="E12" s="3" t="s">
        <v>38</v>
      </c>
      <c r="F12" s="3">
        <v>3682</v>
      </c>
      <c r="G12" s="3">
        <v>10</v>
      </c>
      <c r="H12" s="3">
        <v>67</v>
      </c>
      <c r="I12" s="3">
        <f t="shared" si="0"/>
        <v>2466.94</v>
      </c>
      <c r="J12" s="3">
        <f t="shared" si="1"/>
        <v>1215.06</v>
      </c>
      <c r="K12" s="3">
        <f t="shared" si="2"/>
        <v>12150.599999999999</v>
      </c>
    </row>
    <row r="13" spans="1:11" ht="16" x14ac:dyDescent="0.2">
      <c r="A13" s="3">
        <v>12</v>
      </c>
      <c r="B13" s="3" t="s">
        <v>39</v>
      </c>
      <c r="C13" s="3" t="s">
        <v>40</v>
      </c>
      <c r="D13" s="3" t="s">
        <v>13</v>
      </c>
      <c r="E13" s="3" t="s">
        <v>41</v>
      </c>
      <c r="F13" s="3">
        <v>26962</v>
      </c>
      <c r="G13" s="3">
        <v>1</v>
      </c>
      <c r="H13" s="3">
        <v>67</v>
      </c>
      <c r="I13" s="3">
        <f t="shared" si="0"/>
        <v>18064.54</v>
      </c>
      <c r="J13" s="3">
        <f t="shared" si="1"/>
        <v>8897.4599999999991</v>
      </c>
      <c r="K13" s="3">
        <f t="shared" si="2"/>
        <v>8897.4599999999991</v>
      </c>
    </row>
    <row r="14" spans="1:11" ht="16" x14ac:dyDescent="0.2">
      <c r="A14" s="3">
        <v>13</v>
      </c>
      <c r="B14" s="3" t="s">
        <v>42</v>
      </c>
      <c r="C14" s="3" t="s">
        <v>43</v>
      </c>
      <c r="D14" s="3" t="s">
        <v>13</v>
      </c>
      <c r="E14" s="3" t="s">
        <v>44</v>
      </c>
      <c r="F14" s="3">
        <v>390</v>
      </c>
      <c r="G14" s="3">
        <v>54</v>
      </c>
      <c r="H14" s="3">
        <v>68</v>
      </c>
      <c r="I14" s="3">
        <f t="shared" si="0"/>
        <v>265.20000000000005</v>
      </c>
      <c r="J14" s="3">
        <f t="shared" si="1"/>
        <v>124.79999999999995</v>
      </c>
      <c r="K14" s="3">
        <f t="shared" si="2"/>
        <v>6739.1999999999971</v>
      </c>
    </row>
    <row r="15" spans="1:11" ht="16" x14ac:dyDescent="0.2">
      <c r="A15" s="3">
        <v>14</v>
      </c>
      <c r="B15" s="3" t="s">
        <v>42</v>
      </c>
      <c r="C15" s="3" t="s">
        <v>45</v>
      </c>
      <c r="D15" s="3" t="s">
        <v>13</v>
      </c>
      <c r="E15" s="3" t="s">
        <v>46</v>
      </c>
      <c r="F15" s="3">
        <v>390</v>
      </c>
      <c r="G15" s="3">
        <v>76</v>
      </c>
      <c r="H15" s="3">
        <v>68</v>
      </c>
      <c r="I15" s="3">
        <f t="shared" si="0"/>
        <v>265.20000000000005</v>
      </c>
      <c r="J15" s="3">
        <f t="shared" si="1"/>
        <v>124.79999999999995</v>
      </c>
      <c r="K15" s="3">
        <f t="shared" si="2"/>
        <v>9484.7999999999956</v>
      </c>
    </row>
    <row r="16" spans="1:11" ht="16" x14ac:dyDescent="0.2">
      <c r="A16" s="3">
        <v>15</v>
      </c>
      <c r="B16" s="3" t="s">
        <v>42</v>
      </c>
      <c r="C16" s="3" t="s">
        <v>47</v>
      </c>
      <c r="D16" s="3" t="s">
        <v>13</v>
      </c>
      <c r="E16" s="3" t="s">
        <v>48</v>
      </c>
      <c r="F16" s="3">
        <v>390</v>
      </c>
      <c r="G16" s="3">
        <v>4</v>
      </c>
      <c r="H16" s="3">
        <v>68</v>
      </c>
      <c r="I16" s="3">
        <f t="shared" si="0"/>
        <v>265.20000000000005</v>
      </c>
      <c r="J16" s="3">
        <f t="shared" si="1"/>
        <v>124.79999999999995</v>
      </c>
      <c r="K16" s="3">
        <f t="shared" si="2"/>
        <v>499.19999999999982</v>
      </c>
    </row>
    <row r="17" spans="1:11" ht="16" x14ac:dyDescent="0.2">
      <c r="A17" s="3">
        <v>16</v>
      </c>
      <c r="B17" s="3" t="s">
        <v>42</v>
      </c>
      <c r="C17" s="3" t="s">
        <v>49</v>
      </c>
      <c r="D17" s="3" t="s">
        <v>13</v>
      </c>
      <c r="E17" s="3" t="s">
        <v>50</v>
      </c>
      <c r="F17" s="3">
        <v>390</v>
      </c>
      <c r="G17" s="3">
        <v>84</v>
      </c>
      <c r="H17" s="3">
        <v>68</v>
      </c>
      <c r="I17" s="3">
        <f t="shared" si="0"/>
        <v>265.20000000000005</v>
      </c>
      <c r="J17" s="3">
        <f t="shared" si="1"/>
        <v>124.79999999999995</v>
      </c>
      <c r="K17" s="3">
        <f t="shared" si="2"/>
        <v>10483.199999999997</v>
      </c>
    </row>
    <row r="18" spans="1:11" ht="16" x14ac:dyDescent="0.2">
      <c r="A18" s="3">
        <v>17</v>
      </c>
      <c r="B18" s="3" t="s">
        <v>42</v>
      </c>
      <c r="C18" s="3" t="s">
        <v>51</v>
      </c>
      <c r="D18" s="3" t="s">
        <v>13</v>
      </c>
      <c r="E18" s="3" t="s">
        <v>52</v>
      </c>
      <c r="F18" s="3">
        <v>390</v>
      </c>
      <c r="G18" s="3">
        <v>80</v>
      </c>
      <c r="H18" s="3">
        <v>68</v>
      </c>
      <c r="I18" s="3">
        <f t="shared" si="0"/>
        <v>265.20000000000005</v>
      </c>
      <c r="J18" s="3">
        <f t="shared" si="1"/>
        <v>124.79999999999995</v>
      </c>
      <c r="K18" s="3">
        <f t="shared" si="2"/>
        <v>9983.9999999999964</v>
      </c>
    </row>
    <row r="19" spans="1:11" ht="16" x14ac:dyDescent="0.2">
      <c r="A19" s="3">
        <v>18</v>
      </c>
      <c r="B19" s="3" t="s">
        <v>42</v>
      </c>
      <c r="C19" s="3" t="s">
        <v>53</v>
      </c>
      <c r="D19" s="3" t="s">
        <v>13</v>
      </c>
      <c r="E19" s="3" t="s">
        <v>54</v>
      </c>
      <c r="F19" s="3">
        <v>2076</v>
      </c>
      <c r="G19" s="3">
        <v>1</v>
      </c>
      <c r="H19" s="3">
        <v>68</v>
      </c>
      <c r="I19" s="3">
        <f t="shared" si="0"/>
        <v>1411.68</v>
      </c>
      <c r="J19" s="3">
        <f t="shared" si="1"/>
        <v>664.31999999999994</v>
      </c>
      <c r="K19" s="3">
        <f t="shared" si="2"/>
        <v>664.31999999999994</v>
      </c>
    </row>
    <row r="20" spans="1:11" ht="16" x14ac:dyDescent="0.2">
      <c r="A20" s="3">
        <v>19</v>
      </c>
      <c r="B20" s="3" t="s">
        <v>42</v>
      </c>
      <c r="C20" s="3" t="s">
        <v>55</v>
      </c>
      <c r="D20" s="3" t="s">
        <v>13</v>
      </c>
      <c r="E20" s="3" t="s">
        <v>56</v>
      </c>
      <c r="F20" s="3">
        <v>3150</v>
      </c>
      <c r="G20" s="3">
        <v>13</v>
      </c>
      <c r="H20" s="3">
        <v>68</v>
      </c>
      <c r="I20" s="3">
        <f t="shared" si="0"/>
        <v>2142</v>
      </c>
      <c r="J20" s="3">
        <f t="shared" si="1"/>
        <v>1008</v>
      </c>
      <c r="K20" s="3">
        <f t="shared" si="2"/>
        <v>13104</v>
      </c>
    </row>
    <row r="21" spans="1:11" ht="16" x14ac:dyDescent="0.2">
      <c r="A21" s="3">
        <v>20</v>
      </c>
      <c r="B21" s="3" t="s">
        <v>42</v>
      </c>
      <c r="C21" s="3" t="s">
        <v>57</v>
      </c>
      <c r="D21" s="3" t="s">
        <v>13</v>
      </c>
      <c r="E21" s="3" t="s">
        <v>58</v>
      </c>
      <c r="F21" s="3">
        <v>3870</v>
      </c>
      <c r="G21" s="3">
        <v>4</v>
      </c>
      <c r="H21" s="3">
        <v>68</v>
      </c>
      <c r="I21" s="3">
        <f t="shared" si="0"/>
        <v>2631.6000000000004</v>
      </c>
      <c r="J21" s="3">
        <f t="shared" si="1"/>
        <v>1238.3999999999996</v>
      </c>
      <c r="K21" s="3">
        <f t="shared" si="2"/>
        <v>4953.5999999999985</v>
      </c>
    </row>
    <row r="22" spans="1:11" ht="16" x14ac:dyDescent="0.2">
      <c r="A22" s="3">
        <v>21</v>
      </c>
      <c r="B22" s="3" t="s">
        <v>42</v>
      </c>
      <c r="C22" s="3" t="s">
        <v>59</v>
      </c>
      <c r="D22" s="3" t="s">
        <v>13</v>
      </c>
      <c r="E22" s="3" t="s">
        <v>60</v>
      </c>
      <c r="F22" s="3">
        <v>390</v>
      </c>
      <c r="G22" s="3">
        <v>56</v>
      </c>
      <c r="H22" s="3">
        <v>68</v>
      </c>
      <c r="I22" s="3">
        <f t="shared" si="0"/>
        <v>265.20000000000005</v>
      </c>
      <c r="J22" s="3">
        <f t="shared" si="1"/>
        <v>124.79999999999995</v>
      </c>
      <c r="K22" s="3">
        <f t="shared" si="2"/>
        <v>6988.7999999999975</v>
      </c>
    </row>
    <row r="23" spans="1:11" ht="16" x14ac:dyDescent="0.2">
      <c r="A23" s="3">
        <v>22</v>
      </c>
      <c r="B23" s="3" t="s">
        <v>42</v>
      </c>
      <c r="C23" s="3" t="s">
        <v>61</v>
      </c>
      <c r="D23" s="3" t="s">
        <v>13</v>
      </c>
      <c r="E23" s="3" t="s">
        <v>62</v>
      </c>
      <c r="F23" s="3">
        <v>4012</v>
      </c>
      <c r="G23" s="3">
        <v>13</v>
      </c>
      <c r="H23" s="3">
        <v>68</v>
      </c>
      <c r="I23" s="3">
        <f t="shared" si="0"/>
        <v>2728.1600000000003</v>
      </c>
      <c r="J23" s="3">
        <f t="shared" si="1"/>
        <v>1283.8399999999997</v>
      </c>
      <c r="K23" s="3">
        <f t="shared" si="2"/>
        <v>16689.919999999995</v>
      </c>
    </row>
    <row r="24" spans="1:11" ht="16" x14ac:dyDescent="0.2">
      <c r="A24" s="3">
        <v>23</v>
      </c>
      <c r="B24" s="3" t="s">
        <v>42</v>
      </c>
      <c r="C24" s="3" t="s">
        <v>63</v>
      </c>
      <c r="D24" s="3" t="s">
        <v>13</v>
      </c>
      <c r="E24" s="3" t="s">
        <v>64</v>
      </c>
      <c r="F24" s="3">
        <v>1280</v>
      </c>
      <c r="G24" s="3">
        <v>17</v>
      </c>
      <c r="H24" s="3">
        <v>68</v>
      </c>
      <c r="I24" s="3">
        <f t="shared" si="0"/>
        <v>870.40000000000009</v>
      </c>
      <c r="J24" s="3">
        <f t="shared" si="1"/>
        <v>409.59999999999991</v>
      </c>
      <c r="K24" s="3">
        <f t="shared" si="2"/>
        <v>6963.1999999999989</v>
      </c>
    </row>
    <row r="25" spans="1:11" ht="16" x14ac:dyDescent="0.2">
      <c r="A25" s="3">
        <v>24</v>
      </c>
      <c r="B25" s="3" t="s">
        <v>42</v>
      </c>
      <c r="C25" s="3" t="s">
        <v>65</v>
      </c>
      <c r="D25" s="3" t="s">
        <v>13</v>
      </c>
      <c r="E25" s="3" t="s">
        <v>66</v>
      </c>
      <c r="F25" s="3">
        <v>892</v>
      </c>
      <c r="G25" s="3">
        <v>2</v>
      </c>
      <c r="H25" s="3">
        <v>68</v>
      </c>
      <c r="I25" s="3">
        <f t="shared" si="0"/>
        <v>606.56000000000006</v>
      </c>
      <c r="J25" s="3">
        <f t="shared" si="1"/>
        <v>285.43999999999994</v>
      </c>
      <c r="K25" s="3">
        <f t="shared" si="2"/>
        <v>570.87999999999988</v>
      </c>
    </row>
    <row r="26" spans="1:11" ht="16" x14ac:dyDescent="0.2">
      <c r="A26" s="3">
        <v>25</v>
      </c>
      <c r="B26" s="3" t="s">
        <v>42</v>
      </c>
      <c r="C26" s="3" t="s">
        <v>67</v>
      </c>
      <c r="D26" s="3" t="s">
        <v>13</v>
      </c>
      <c r="E26" s="3" t="s">
        <v>68</v>
      </c>
      <c r="F26" s="3">
        <v>4012</v>
      </c>
      <c r="G26" s="3">
        <v>2</v>
      </c>
      <c r="H26" s="3">
        <v>68</v>
      </c>
      <c r="I26" s="3">
        <f t="shared" si="0"/>
        <v>2728.1600000000003</v>
      </c>
      <c r="J26" s="3">
        <f t="shared" si="1"/>
        <v>1283.8399999999997</v>
      </c>
      <c r="K26" s="3">
        <f t="shared" si="2"/>
        <v>2567.6799999999994</v>
      </c>
    </row>
    <row r="27" spans="1:11" ht="16" x14ac:dyDescent="0.2">
      <c r="A27" s="3">
        <v>26</v>
      </c>
      <c r="B27" s="3" t="s">
        <v>42</v>
      </c>
      <c r="C27" s="3" t="s">
        <v>69</v>
      </c>
      <c r="D27" s="3" t="s">
        <v>13</v>
      </c>
      <c r="E27" s="3" t="s">
        <v>70</v>
      </c>
      <c r="F27" s="3">
        <v>2820</v>
      </c>
      <c r="G27" s="3">
        <v>1</v>
      </c>
      <c r="H27" s="3">
        <v>68</v>
      </c>
      <c r="I27" s="3">
        <f t="shared" si="0"/>
        <v>1917.6000000000001</v>
      </c>
      <c r="J27" s="3">
        <f t="shared" si="1"/>
        <v>902.39999999999986</v>
      </c>
      <c r="K27" s="3">
        <f t="shared" si="2"/>
        <v>902.39999999999986</v>
      </c>
    </row>
    <row r="28" spans="1:11" ht="16" x14ac:dyDescent="0.2">
      <c r="A28" s="3">
        <v>27</v>
      </c>
      <c r="B28" s="3" t="s">
        <v>42</v>
      </c>
      <c r="C28" s="3" t="s">
        <v>71</v>
      </c>
      <c r="D28" s="3" t="s">
        <v>13</v>
      </c>
      <c r="E28" s="3" t="s">
        <v>72</v>
      </c>
      <c r="F28" s="3">
        <v>2820</v>
      </c>
      <c r="G28" s="3">
        <v>5</v>
      </c>
      <c r="H28" s="3">
        <v>68</v>
      </c>
      <c r="I28" s="3">
        <f t="shared" si="0"/>
        <v>1917.6000000000001</v>
      </c>
      <c r="J28" s="3">
        <f t="shared" si="1"/>
        <v>902.39999999999986</v>
      </c>
      <c r="K28" s="3">
        <f t="shared" si="2"/>
        <v>4511.9999999999991</v>
      </c>
    </row>
    <row r="29" spans="1:11" ht="16" x14ac:dyDescent="0.2">
      <c r="A29" s="3">
        <v>28</v>
      </c>
      <c r="B29" s="3" t="s">
        <v>42</v>
      </c>
      <c r="C29" s="3" t="s">
        <v>73</v>
      </c>
      <c r="D29" s="3" t="s">
        <v>13</v>
      </c>
      <c r="E29" s="3" t="s">
        <v>74</v>
      </c>
      <c r="F29" s="3">
        <v>1280</v>
      </c>
      <c r="G29" s="3">
        <v>16</v>
      </c>
      <c r="H29" s="3">
        <v>68</v>
      </c>
      <c r="I29" s="3">
        <f t="shared" si="0"/>
        <v>870.40000000000009</v>
      </c>
      <c r="J29" s="3">
        <f t="shared" si="1"/>
        <v>409.59999999999991</v>
      </c>
      <c r="K29" s="3">
        <f t="shared" si="2"/>
        <v>6553.5999999999985</v>
      </c>
    </row>
    <row r="30" spans="1:11" ht="16" x14ac:dyDescent="0.2">
      <c r="A30" s="3">
        <v>29</v>
      </c>
      <c r="B30" s="3" t="s">
        <v>75</v>
      </c>
      <c r="C30" s="3" t="s">
        <v>76</v>
      </c>
      <c r="D30" s="3" t="s">
        <v>13</v>
      </c>
      <c r="E30" s="3" t="s">
        <v>77</v>
      </c>
      <c r="F30" s="3">
        <v>41400</v>
      </c>
      <c r="G30" s="3">
        <v>5</v>
      </c>
      <c r="H30" s="3">
        <v>68</v>
      </c>
      <c r="I30" s="3">
        <f t="shared" si="0"/>
        <v>28152.000000000004</v>
      </c>
      <c r="J30" s="3">
        <f t="shared" si="1"/>
        <v>13247.999999999996</v>
      </c>
      <c r="K30" s="3">
        <f t="shared" si="2"/>
        <v>66239.999999999985</v>
      </c>
    </row>
    <row r="31" spans="1:11" ht="16" x14ac:dyDescent="0.2">
      <c r="A31" s="3">
        <v>30</v>
      </c>
      <c r="B31" s="3" t="s">
        <v>75</v>
      </c>
      <c r="C31" s="3" t="s">
        <v>78</v>
      </c>
      <c r="D31" s="3" t="s">
        <v>13</v>
      </c>
      <c r="E31" s="3" t="s">
        <v>79</v>
      </c>
      <c r="F31" s="3">
        <v>12410</v>
      </c>
      <c r="G31" s="3">
        <v>13</v>
      </c>
      <c r="H31" s="3">
        <v>68</v>
      </c>
      <c r="I31" s="3">
        <f t="shared" si="0"/>
        <v>8438.8000000000011</v>
      </c>
      <c r="J31" s="3">
        <f t="shared" si="1"/>
        <v>3971.1999999999989</v>
      </c>
      <c r="K31" s="3">
        <f t="shared" si="2"/>
        <v>51625.599999999984</v>
      </c>
    </row>
    <row r="32" spans="1:11" ht="16" x14ac:dyDescent="0.2">
      <c r="A32" s="3">
        <v>31</v>
      </c>
      <c r="B32" s="3" t="s">
        <v>75</v>
      </c>
      <c r="C32" s="3" t="s">
        <v>80</v>
      </c>
      <c r="D32" s="3" t="s">
        <v>13</v>
      </c>
      <c r="E32" s="3" t="s">
        <v>81</v>
      </c>
      <c r="F32" s="3">
        <v>15680</v>
      </c>
      <c r="G32" s="3">
        <v>3</v>
      </c>
      <c r="H32" s="3">
        <v>68</v>
      </c>
      <c r="I32" s="3">
        <f t="shared" si="0"/>
        <v>10662.400000000001</v>
      </c>
      <c r="J32" s="3">
        <f t="shared" si="1"/>
        <v>5017.5999999999985</v>
      </c>
      <c r="K32" s="3">
        <f t="shared" si="2"/>
        <v>15052.799999999996</v>
      </c>
    </row>
    <row r="33" spans="1:11" ht="16" x14ac:dyDescent="0.2">
      <c r="A33" s="3">
        <v>32</v>
      </c>
      <c r="B33" s="3" t="s">
        <v>75</v>
      </c>
      <c r="C33" s="3" t="s">
        <v>82</v>
      </c>
      <c r="D33" s="3" t="s">
        <v>13</v>
      </c>
      <c r="E33" s="3" t="s">
        <v>83</v>
      </c>
      <c r="F33" s="3">
        <v>21940</v>
      </c>
      <c r="G33" s="3">
        <v>11</v>
      </c>
      <c r="H33" s="3">
        <v>68</v>
      </c>
      <c r="I33" s="3">
        <f t="shared" si="0"/>
        <v>14919.2</v>
      </c>
      <c r="J33" s="3">
        <f t="shared" si="1"/>
        <v>7020.7999999999993</v>
      </c>
      <c r="K33" s="3">
        <f t="shared" si="2"/>
        <v>77228.799999999988</v>
      </c>
    </row>
    <row r="34" spans="1:11" ht="16" x14ac:dyDescent="0.2">
      <c r="A34" s="3">
        <v>33</v>
      </c>
      <c r="B34" s="3" t="s">
        <v>75</v>
      </c>
      <c r="C34" s="3" t="s">
        <v>84</v>
      </c>
      <c r="D34" s="3" t="s">
        <v>13</v>
      </c>
      <c r="E34" s="3" t="s">
        <v>85</v>
      </c>
      <c r="F34" s="3">
        <v>29960</v>
      </c>
      <c r="G34" s="3">
        <v>3</v>
      </c>
      <c r="H34" s="3">
        <v>68</v>
      </c>
      <c r="I34" s="3">
        <f t="shared" si="0"/>
        <v>20372.800000000003</v>
      </c>
      <c r="J34" s="3">
        <f t="shared" si="1"/>
        <v>9587.1999999999971</v>
      </c>
      <c r="K34" s="3">
        <f t="shared" si="2"/>
        <v>28761.599999999991</v>
      </c>
    </row>
    <row r="35" spans="1:11" ht="16" x14ac:dyDescent="0.2">
      <c r="A35" s="3">
        <v>34</v>
      </c>
      <c r="B35" s="3" t="s">
        <v>75</v>
      </c>
      <c r="C35" s="3" t="s">
        <v>86</v>
      </c>
      <c r="D35" s="3" t="s">
        <v>13</v>
      </c>
      <c r="E35" s="3" t="s">
        <v>87</v>
      </c>
      <c r="F35" s="3">
        <v>43020</v>
      </c>
      <c r="G35" s="3">
        <v>1</v>
      </c>
      <c r="H35" s="3">
        <v>68</v>
      </c>
      <c r="I35" s="3">
        <f t="shared" si="0"/>
        <v>29253.600000000002</v>
      </c>
      <c r="J35" s="3">
        <f t="shared" si="1"/>
        <v>13766.399999999998</v>
      </c>
      <c r="K35" s="3">
        <f t="shared" si="2"/>
        <v>13766.399999999998</v>
      </c>
    </row>
    <row r="36" spans="1:11" ht="16" x14ac:dyDescent="0.2">
      <c r="A36" s="3">
        <v>35</v>
      </c>
      <c r="B36" s="3" t="s">
        <v>75</v>
      </c>
      <c r="C36" s="3" t="s">
        <v>88</v>
      </c>
      <c r="D36" s="3" t="s">
        <v>13</v>
      </c>
      <c r="E36" s="3" t="s">
        <v>89</v>
      </c>
      <c r="F36" s="3">
        <v>8920</v>
      </c>
      <c r="G36" s="3">
        <v>16</v>
      </c>
      <c r="H36" s="3">
        <v>68</v>
      </c>
      <c r="I36" s="3">
        <f t="shared" si="0"/>
        <v>6065.6</v>
      </c>
      <c r="J36" s="3">
        <f t="shared" si="1"/>
        <v>2854.3999999999996</v>
      </c>
      <c r="K36" s="3">
        <f t="shared" si="2"/>
        <v>45670.399999999994</v>
      </c>
    </row>
    <row r="37" spans="1:11" ht="16" x14ac:dyDescent="0.2">
      <c r="A37" s="3">
        <v>36</v>
      </c>
      <c r="B37" s="3" t="s">
        <v>75</v>
      </c>
      <c r="C37" s="3" t="s">
        <v>90</v>
      </c>
      <c r="D37" s="3" t="s">
        <v>13</v>
      </c>
      <c r="E37" s="3" t="s">
        <v>91</v>
      </c>
      <c r="F37" s="3">
        <v>8920</v>
      </c>
      <c r="G37" s="3">
        <v>2</v>
      </c>
      <c r="H37" s="3">
        <v>68</v>
      </c>
      <c r="I37" s="3">
        <f t="shared" si="0"/>
        <v>6065.6</v>
      </c>
      <c r="J37" s="3">
        <f t="shared" si="1"/>
        <v>2854.3999999999996</v>
      </c>
      <c r="K37" s="3">
        <f t="shared" si="2"/>
        <v>5708.7999999999993</v>
      </c>
    </row>
    <row r="38" spans="1:11" ht="16" x14ac:dyDescent="0.2">
      <c r="A38" s="3">
        <v>37</v>
      </c>
      <c r="B38" s="3" t="s">
        <v>92</v>
      </c>
      <c r="C38" s="3" t="s">
        <v>93</v>
      </c>
      <c r="D38" s="3" t="s">
        <v>13</v>
      </c>
      <c r="E38" s="3" t="s">
        <v>94</v>
      </c>
      <c r="F38" s="3">
        <v>2290</v>
      </c>
      <c r="G38" s="3">
        <v>10</v>
      </c>
      <c r="H38" s="3">
        <v>68</v>
      </c>
      <c r="I38" s="3">
        <f t="shared" si="0"/>
        <v>1557.2</v>
      </c>
      <c r="J38" s="3">
        <f t="shared" si="1"/>
        <v>732.8</v>
      </c>
      <c r="K38" s="3">
        <f t="shared" si="2"/>
        <v>7328</v>
      </c>
    </row>
    <row r="39" spans="1:11" ht="16" x14ac:dyDescent="0.2">
      <c r="A39" s="3">
        <v>38</v>
      </c>
      <c r="B39" s="3" t="s">
        <v>92</v>
      </c>
      <c r="C39" s="3" t="s">
        <v>95</v>
      </c>
      <c r="D39" s="3" t="s">
        <v>13</v>
      </c>
      <c r="E39" s="3" t="s">
        <v>96</v>
      </c>
      <c r="F39" s="3">
        <v>3940</v>
      </c>
      <c r="G39" s="3">
        <v>6</v>
      </c>
      <c r="H39" s="3">
        <v>68</v>
      </c>
      <c r="I39" s="3">
        <f t="shared" si="0"/>
        <v>2679.2000000000003</v>
      </c>
      <c r="J39" s="3">
        <f t="shared" si="1"/>
        <v>1260.7999999999997</v>
      </c>
      <c r="K39" s="3">
        <f t="shared" si="2"/>
        <v>7564.7999999999984</v>
      </c>
    </row>
    <row r="40" spans="1:11" ht="16" x14ac:dyDescent="0.2">
      <c r="A40" s="3">
        <v>39</v>
      </c>
      <c r="B40" s="3" t="s">
        <v>92</v>
      </c>
      <c r="C40" s="3" t="s">
        <v>97</v>
      </c>
      <c r="D40" s="3" t="s">
        <v>13</v>
      </c>
      <c r="E40" s="3" t="s">
        <v>98</v>
      </c>
      <c r="F40" s="3">
        <v>1350</v>
      </c>
      <c r="G40" s="3">
        <v>2</v>
      </c>
      <c r="H40" s="3">
        <v>68</v>
      </c>
      <c r="I40" s="3">
        <f t="shared" si="0"/>
        <v>918.00000000000011</v>
      </c>
      <c r="J40" s="3">
        <f t="shared" si="1"/>
        <v>431.99999999999989</v>
      </c>
      <c r="K40" s="3">
        <f t="shared" si="2"/>
        <v>863.99999999999977</v>
      </c>
    </row>
    <row r="41" spans="1:11" ht="16" x14ac:dyDescent="0.2">
      <c r="A41" s="3">
        <v>40</v>
      </c>
      <c r="B41" s="3" t="s">
        <v>92</v>
      </c>
      <c r="C41" s="3" t="s">
        <v>99</v>
      </c>
      <c r="D41" s="3" t="s">
        <v>13</v>
      </c>
      <c r="E41" s="3" t="s">
        <v>100</v>
      </c>
      <c r="F41" s="3">
        <v>420</v>
      </c>
      <c r="G41" s="3">
        <v>32</v>
      </c>
      <c r="H41" s="3">
        <v>68</v>
      </c>
      <c r="I41" s="3">
        <f t="shared" si="0"/>
        <v>285.60000000000002</v>
      </c>
      <c r="J41" s="3">
        <f t="shared" si="1"/>
        <v>134.39999999999998</v>
      </c>
      <c r="K41" s="3">
        <f t="shared" si="2"/>
        <v>4300.7999999999993</v>
      </c>
    </row>
    <row r="42" spans="1:11" ht="16" x14ac:dyDescent="0.2">
      <c r="A42" s="3">
        <v>41</v>
      </c>
      <c r="B42" s="3" t="s">
        <v>92</v>
      </c>
      <c r="C42" s="3" t="s">
        <v>101</v>
      </c>
      <c r="D42" s="3" t="s">
        <v>13</v>
      </c>
      <c r="E42" s="3" t="s">
        <v>102</v>
      </c>
      <c r="F42" s="3">
        <v>2030</v>
      </c>
      <c r="G42" s="3">
        <v>34</v>
      </c>
      <c r="H42" s="3">
        <v>68</v>
      </c>
      <c r="I42" s="3">
        <f t="shared" si="0"/>
        <v>1380.4</v>
      </c>
      <c r="J42" s="3">
        <f t="shared" si="1"/>
        <v>649.59999999999991</v>
      </c>
      <c r="K42" s="3">
        <f t="shared" si="2"/>
        <v>22086.399999999998</v>
      </c>
    </row>
    <row r="43" spans="1:11" ht="16" x14ac:dyDescent="0.2">
      <c r="A43" s="3">
        <v>42</v>
      </c>
      <c r="B43" s="3" t="s">
        <v>92</v>
      </c>
      <c r="C43" s="3" t="s">
        <v>103</v>
      </c>
      <c r="D43" s="3" t="s">
        <v>13</v>
      </c>
      <c r="E43" s="3" t="s">
        <v>104</v>
      </c>
      <c r="F43" s="3">
        <v>1150</v>
      </c>
      <c r="G43" s="3">
        <v>28</v>
      </c>
      <c r="H43" s="3">
        <v>68</v>
      </c>
      <c r="I43" s="3">
        <f t="shared" si="0"/>
        <v>782</v>
      </c>
      <c r="J43" s="3">
        <f t="shared" si="1"/>
        <v>368</v>
      </c>
      <c r="K43" s="3">
        <f t="shared" si="2"/>
        <v>10304</v>
      </c>
    </row>
    <row r="44" spans="1:11" ht="16" x14ac:dyDescent="0.2">
      <c r="A44" s="3">
        <v>43</v>
      </c>
      <c r="B44" s="3" t="s">
        <v>92</v>
      </c>
      <c r="C44" s="3" t="s">
        <v>105</v>
      </c>
      <c r="D44" s="3" t="s">
        <v>13</v>
      </c>
      <c r="E44" s="3" t="s">
        <v>106</v>
      </c>
      <c r="F44" s="3">
        <v>2100</v>
      </c>
      <c r="G44" s="3">
        <v>14</v>
      </c>
      <c r="H44" s="3">
        <v>68</v>
      </c>
      <c r="I44" s="3">
        <f t="shared" si="0"/>
        <v>1428</v>
      </c>
      <c r="J44" s="3">
        <f t="shared" si="1"/>
        <v>672</v>
      </c>
      <c r="K44" s="3">
        <f t="shared" si="2"/>
        <v>9408</v>
      </c>
    </row>
    <row r="45" spans="1:11" ht="16" x14ac:dyDescent="0.2">
      <c r="A45" s="3">
        <v>44</v>
      </c>
      <c r="B45" s="3" t="s">
        <v>92</v>
      </c>
      <c r="C45" s="3" t="s">
        <v>107</v>
      </c>
      <c r="D45" s="3" t="s">
        <v>13</v>
      </c>
      <c r="E45" s="3" t="s">
        <v>108</v>
      </c>
      <c r="F45" s="3">
        <v>1720</v>
      </c>
      <c r="G45" s="3">
        <v>2</v>
      </c>
      <c r="H45" s="3">
        <v>68</v>
      </c>
      <c r="I45" s="3">
        <f t="shared" si="0"/>
        <v>1169.6000000000001</v>
      </c>
      <c r="J45" s="3">
        <f t="shared" si="1"/>
        <v>550.39999999999986</v>
      </c>
      <c r="K45" s="3">
        <f t="shared" si="2"/>
        <v>1100.7999999999997</v>
      </c>
    </row>
    <row r="46" spans="1:11" ht="16" x14ac:dyDescent="0.2">
      <c r="A46" s="3">
        <v>45</v>
      </c>
      <c r="B46" s="3" t="s">
        <v>92</v>
      </c>
      <c r="C46" s="3" t="s">
        <v>109</v>
      </c>
      <c r="D46" s="3" t="s">
        <v>13</v>
      </c>
      <c r="E46" s="3" t="s">
        <v>33</v>
      </c>
      <c r="F46" s="3">
        <v>290</v>
      </c>
      <c r="G46" s="3">
        <v>36</v>
      </c>
      <c r="H46" s="3">
        <v>68</v>
      </c>
      <c r="I46" s="3">
        <f t="shared" si="0"/>
        <v>197.20000000000002</v>
      </c>
      <c r="J46" s="3">
        <f t="shared" si="1"/>
        <v>92.799999999999983</v>
      </c>
      <c r="K46" s="3">
        <f t="shared" si="2"/>
        <v>3340.7999999999993</v>
      </c>
    </row>
    <row r="47" spans="1:11" ht="16" x14ac:dyDescent="0.2">
      <c r="A47" s="3">
        <v>46</v>
      </c>
      <c r="B47" s="3" t="s">
        <v>110</v>
      </c>
      <c r="C47" s="3" t="s">
        <v>111</v>
      </c>
      <c r="D47" s="3" t="s">
        <v>13</v>
      </c>
      <c r="E47" s="3" t="s">
        <v>112</v>
      </c>
      <c r="F47" s="3">
        <v>93500</v>
      </c>
      <c r="G47" s="3">
        <v>1</v>
      </c>
      <c r="H47" s="3">
        <v>67</v>
      </c>
      <c r="I47" s="3">
        <f t="shared" si="0"/>
        <v>62645.000000000007</v>
      </c>
      <c r="J47" s="3">
        <f t="shared" si="1"/>
        <v>30854.999999999993</v>
      </c>
      <c r="K47" s="3">
        <f t="shared" si="2"/>
        <v>30854.999999999993</v>
      </c>
    </row>
    <row r="48" spans="1:11" ht="16" x14ac:dyDescent="0.2">
      <c r="A48" s="3">
        <v>47</v>
      </c>
      <c r="B48" s="3" t="s">
        <v>110</v>
      </c>
      <c r="C48" s="3" t="s">
        <v>113</v>
      </c>
      <c r="D48" s="3" t="s">
        <v>13</v>
      </c>
      <c r="E48" s="3" t="s">
        <v>114</v>
      </c>
      <c r="F48" s="3">
        <v>1680</v>
      </c>
      <c r="G48" s="3">
        <v>1</v>
      </c>
      <c r="H48" s="3">
        <v>67</v>
      </c>
      <c r="I48" s="3">
        <f t="shared" si="0"/>
        <v>1125.6000000000001</v>
      </c>
      <c r="J48" s="3">
        <f t="shared" si="1"/>
        <v>554.39999999999986</v>
      </c>
      <c r="K48" s="3">
        <f t="shared" si="2"/>
        <v>554.39999999999986</v>
      </c>
    </row>
    <row r="49" spans="1:11" ht="16" x14ac:dyDescent="0.2">
      <c r="A49" s="3">
        <v>48</v>
      </c>
      <c r="B49" s="3" t="s">
        <v>110</v>
      </c>
      <c r="C49" s="3" t="s">
        <v>115</v>
      </c>
      <c r="D49" s="3" t="s">
        <v>13</v>
      </c>
      <c r="E49" s="3" t="s">
        <v>116</v>
      </c>
      <c r="F49" s="3">
        <v>1820</v>
      </c>
      <c r="G49" s="3">
        <v>3</v>
      </c>
      <c r="H49" s="3">
        <v>67</v>
      </c>
      <c r="I49" s="3">
        <f t="shared" si="0"/>
        <v>1219.4000000000001</v>
      </c>
      <c r="J49" s="3">
        <f t="shared" si="1"/>
        <v>600.59999999999991</v>
      </c>
      <c r="K49" s="3">
        <f t="shared" si="2"/>
        <v>1801.7999999999997</v>
      </c>
    </row>
    <row r="50" spans="1:11" ht="16" x14ac:dyDescent="0.2">
      <c r="A50" s="3">
        <v>49</v>
      </c>
      <c r="B50" s="3" t="s">
        <v>110</v>
      </c>
      <c r="C50" s="3" t="s">
        <v>117</v>
      </c>
      <c r="D50" s="3" t="s">
        <v>13</v>
      </c>
      <c r="E50" s="3" t="s">
        <v>118</v>
      </c>
      <c r="F50" s="3">
        <v>2190</v>
      </c>
      <c r="G50" s="3">
        <v>1</v>
      </c>
      <c r="H50" s="3">
        <v>67</v>
      </c>
      <c r="I50" s="3">
        <f t="shared" si="0"/>
        <v>1467.3000000000002</v>
      </c>
      <c r="J50" s="3">
        <f t="shared" si="1"/>
        <v>722.69999999999982</v>
      </c>
      <c r="K50" s="3">
        <f t="shared" si="2"/>
        <v>722.69999999999982</v>
      </c>
    </row>
    <row r="51" spans="1:11" ht="16" x14ac:dyDescent="0.2">
      <c r="A51" s="3">
        <v>50</v>
      </c>
      <c r="B51" s="3" t="s">
        <v>119</v>
      </c>
      <c r="C51" s="3" t="s">
        <v>120</v>
      </c>
      <c r="D51" s="3" t="s">
        <v>13</v>
      </c>
      <c r="E51" s="3" t="s">
        <v>121</v>
      </c>
      <c r="F51" s="3">
        <v>550</v>
      </c>
      <c r="G51" s="3">
        <v>12</v>
      </c>
      <c r="H51" s="3">
        <v>67</v>
      </c>
      <c r="I51" s="3">
        <f t="shared" si="0"/>
        <v>368.5</v>
      </c>
      <c r="J51" s="3">
        <f t="shared" si="1"/>
        <v>181.5</v>
      </c>
      <c r="K51" s="3">
        <f t="shared" si="2"/>
        <v>2178</v>
      </c>
    </row>
    <row r="52" spans="1:11" ht="16" x14ac:dyDescent="0.2">
      <c r="A52" s="3">
        <v>51</v>
      </c>
      <c r="B52" s="3" t="s">
        <v>119</v>
      </c>
      <c r="C52" s="3" t="s">
        <v>122</v>
      </c>
      <c r="D52" s="3" t="s">
        <v>13</v>
      </c>
      <c r="E52" s="3" t="s">
        <v>123</v>
      </c>
      <c r="F52" s="3">
        <v>2410</v>
      </c>
      <c r="G52" s="3">
        <v>7</v>
      </c>
      <c r="H52" s="3">
        <v>67</v>
      </c>
      <c r="I52" s="3">
        <f t="shared" si="0"/>
        <v>1614.7</v>
      </c>
      <c r="J52" s="3">
        <f t="shared" si="1"/>
        <v>795.3</v>
      </c>
      <c r="K52" s="3">
        <f t="shared" si="2"/>
        <v>5567.0999999999995</v>
      </c>
    </row>
    <row r="53" spans="1:11" ht="16" x14ac:dyDescent="0.2">
      <c r="A53" s="3">
        <v>52</v>
      </c>
      <c r="B53" s="3" t="s">
        <v>119</v>
      </c>
      <c r="C53" s="3" t="s">
        <v>124</v>
      </c>
      <c r="D53" s="3" t="s">
        <v>13</v>
      </c>
      <c r="E53" s="3" t="s">
        <v>125</v>
      </c>
      <c r="F53" s="3">
        <v>16900</v>
      </c>
      <c r="G53" s="3">
        <v>4</v>
      </c>
      <c r="H53" s="3">
        <v>67</v>
      </c>
      <c r="I53" s="3">
        <f t="shared" si="0"/>
        <v>11323</v>
      </c>
      <c r="J53" s="3">
        <f t="shared" si="1"/>
        <v>5577</v>
      </c>
      <c r="K53" s="3">
        <f t="shared" si="2"/>
        <v>22308</v>
      </c>
    </row>
    <row r="54" spans="1:11" ht="16" x14ac:dyDescent="0.2">
      <c r="A54" s="3">
        <v>53</v>
      </c>
      <c r="B54" s="3"/>
      <c r="C54" s="3" t="s">
        <v>126</v>
      </c>
      <c r="D54" s="3" t="s">
        <v>13</v>
      </c>
      <c r="E54" s="3" t="s">
        <v>127</v>
      </c>
      <c r="F54" s="3">
        <v>8292</v>
      </c>
      <c r="G54" s="3">
        <v>10</v>
      </c>
      <c r="H54" s="3">
        <v>67</v>
      </c>
      <c r="I54" s="3">
        <f t="shared" si="0"/>
        <v>5555.64</v>
      </c>
      <c r="J54" s="3">
        <f t="shared" si="1"/>
        <v>2736.3599999999997</v>
      </c>
      <c r="K54" s="3">
        <f t="shared" si="2"/>
        <v>27363.599999999999</v>
      </c>
    </row>
    <row r="55" spans="1:11" ht="16" x14ac:dyDescent="0.2">
      <c r="A55" s="3">
        <v>54</v>
      </c>
      <c r="B55" s="3"/>
      <c r="C55" s="3" t="s">
        <v>128</v>
      </c>
      <c r="D55" s="3" t="s">
        <v>13</v>
      </c>
      <c r="E55" s="3" t="s">
        <v>129</v>
      </c>
      <c r="F55" s="3">
        <v>5650</v>
      </c>
      <c r="G55" s="3">
        <v>2</v>
      </c>
      <c r="H55" s="3">
        <v>67</v>
      </c>
      <c r="I55" s="3">
        <f t="shared" si="0"/>
        <v>3785.5</v>
      </c>
      <c r="J55" s="3">
        <f t="shared" si="1"/>
        <v>1864.5</v>
      </c>
      <c r="K55" s="3">
        <f t="shared" si="2"/>
        <v>3729</v>
      </c>
    </row>
    <row r="56" spans="1:11" ht="16" x14ac:dyDescent="0.2">
      <c r="A56" s="3">
        <v>55</v>
      </c>
      <c r="B56" s="3"/>
      <c r="C56" s="3" t="s">
        <v>130</v>
      </c>
      <c r="D56" s="3" t="s">
        <v>13</v>
      </c>
      <c r="E56" s="3" t="s">
        <v>131</v>
      </c>
      <c r="F56" s="3">
        <v>3550</v>
      </c>
      <c r="G56" s="3">
        <v>4</v>
      </c>
      <c r="H56" s="3">
        <v>67</v>
      </c>
      <c r="I56" s="3">
        <f t="shared" si="0"/>
        <v>2378.5</v>
      </c>
      <c r="J56" s="3">
        <f t="shared" si="1"/>
        <v>1171.5</v>
      </c>
      <c r="K56" s="3">
        <f t="shared" si="2"/>
        <v>4686</v>
      </c>
    </row>
    <row r="57" spans="1:11" ht="19" x14ac:dyDescent="0.25">
      <c r="K57" s="4">
        <f>SUM(K2:K56)</f>
        <v>936027.94000000006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Dinesh Chowdhary</cp:lastModifiedBy>
  <dcterms:created xsi:type="dcterms:W3CDTF">2025-09-20T12:46:38Z</dcterms:created>
  <dcterms:modified xsi:type="dcterms:W3CDTF">2026-08-13T19:17:29Z</dcterms:modified>
</cp:coreProperties>
</file>